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A409FJ\Documents\KERJA\POS INDO\"/>
    </mc:Choice>
  </mc:AlternateContent>
  <xr:revisionPtr revIDLastSave="0" documentId="13_ncr:1_{7F5F04C5-C6F8-4F87-9F05-C41D31480E7A}" xr6:coauthVersionLast="47" xr6:coauthVersionMax="47" xr10:uidLastSave="{00000000-0000-0000-0000-000000000000}"/>
  <bookViews>
    <workbookView xWindow="-110" yWindow="-110" windowWidth="19420" windowHeight="10300" activeTab="1" xr2:uid="{6448E716-E666-46B3-ACAD-1BEF233DE75A}"/>
  </bookViews>
  <sheets>
    <sheet name="Data" sheetId="1" r:id="rId1"/>
    <sheet name="Chart" sheetId="2" r:id="rId2"/>
  </sheets>
  <externalReferences>
    <externalReference r:id="rId3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0" i="1"/>
  <c r="C21" i="1"/>
  <c r="B25" i="1"/>
  <c r="G25" i="1"/>
</calcChain>
</file>

<file path=xl/sharedStrings.xml><?xml version="1.0" encoding="utf-8"?>
<sst xmlns="http://schemas.openxmlformats.org/spreadsheetml/2006/main" count="51" uniqueCount="45">
  <si>
    <t>COMPANY NAME</t>
  </si>
  <si>
    <t>COMPLETED BY</t>
  </si>
  <si>
    <t>PROJECT TITLE</t>
  </si>
  <si>
    <t>DATE UPDATED</t>
  </si>
  <si>
    <t>PT. EKA DHARMA JAYA SAKTI</t>
  </si>
  <si>
    <t>COST-BENEFIT ANALYSIS: MUTASI ASET VS PEMBELIAN ASET BARU</t>
  </si>
  <si>
    <t>RAFISAL HAMDI</t>
  </si>
  <si>
    <t>Biaya transportasi aset (pengangkutan, bahan bakar, manpower)</t>
  </si>
  <si>
    <t>Biaya pengecekan &amp; perbaikan aset bekas</t>
  </si>
  <si>
    <t>Biaya administrasi (dokumentasi, pencatatan mutasi)</t>
  </si>
  <si>
    <t>Komponen</t>
  </si>
  <si>
    <t>Biaya Pembelian Aset Baru (IDR)</t>
  </si>
  <si>
    <t>Meja kerja (10 unit)</t>
  </si>
  <si>
    <t>Kursi kerja (10 unit)</t>
  </si>
  <si>
    <t>Komputer (5 unit)</t>
  </si>
  <si>
    <t>Printer (2 unit)</t>
  </si>
  <si>
    <t>AC (3 unit)</t>
  </si>
  <si>
    <t>Bin box &amp; ATK</t>
  </si>
  <si>
    <t>Total Biaya Pembelian Aset Baru</t>
  </si>
  <si>
    <t>BENEFITS / SAVINGS</t>
  </si>
  <si>
    <t>Deskripsi</t>
  </si>
  <si>
    <t>Jumlah (IDR)</t>
  </si>
  <si>
    <t>Total Cost</t>
  </si>
  <si>
    <t>PROJECT COSTS (Total Biaya Mutasi Aset)</t>
  </si>
  <si>
    <t>Benefits/Savings</t>
  </si>
  <si>
    <t>FUTURE VALUE</t>
  </si>
  <si>
    <t>Present Value (IDR)</t>
  </si>
  <si>
    <t>Interest Rate (%)</t>
  </si>
  <si>
    <t>Tahun</t>
  </si>
  <si>
    <t>Future Value (IDR)</t>
  </si>
  <si>
    <t>Future Cash Flow (IDR)</t>
  </si>
  <si>
    <t>Total PV</t>
  </si>
  <si>
    <t>-</t>
  </si>
  <si>
    <t>Net Present Value (NPV)</t>
  </si>
  <si>
    <t>Fiscal Year</t>
  </si>
  <si>
    <t>Project Cost</t>
  </si>
  <si>
    <t>NET PRESENT VALUE</t>
  </si>
  <si>
    <t>Category</t>
  </si>
  <si>
    <t>Cost (IDR)</t>
  </si>
  <si>
    <t>Transportasi</t>
  </si>
  <si>
    <t>Pengecekan &amp; Perbaikan</t>
  </si>
  <si>
    <t>Administrasi</t>
  </si>
  <si>
    <t>Year 1</t>
  </si>
  <si>
    <t>Year 2</t>
  </si>
  <si>
    <t>NPV (IDR)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</si>
</sst>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70" formatCode="&quot;Rp&quot;#,##0.00"/>
    <numFmt numFmtId="171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170" fontId="2" fillId="0" borderId="5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170" fontId="2" fillId="5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15" fontId="2" fillId="0" borderId="1" xfId="0" applyNumberFormat="1" applyFont="1" applyBorder="1" applyAlignment="1">
      <alignment horizontal="left" vertical="center" indent="1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70" fontId="2" fillId="0" borderId="5" xfId="0" applyNumberFormat="1" applyFont="1" applyBorder="1" applyAlignment="1">
      <alignment horizontal="center" vertical="center" wrapText="1"/>
    </xf>
    <xf numFmtId="170" fontId="4" fillId="5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 wrapText="1"/>
    </xf>
    <xf numFmtId="170" fontId="4" fillId="7" borderId="5" xfId="0" applyNumberFormat="1" applyFont="1" applyFill="1" applyBorder="1" applyAlignment="1">
      <alignment horizontal="center" vertical="center" wrapText="1"/>
    </xf>
    <xf numFmtId="170" fontId="2" fillId="7" borderId="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1" fontId="3" fillId="6" borderId="1" xfId="0" applyNumberFormat="1" applyFont="1" applyFill="1" applyBorder="1" applyAlignment="1">
      <alignment horizontal="center" vertical="center"/>
    </xf>
    <xf numFmtId="171" fontId="3" fillId="6" borderId="2" xfId="0" applyNumberFormat="1" applyFont="1" applyFill="1" applyBorder="1" applyAlignment="1">
      <alignment horizontal="center" vertical="center"/>
    </xf>
    <xf numFmtId="171" fontId="3" fillId="6" borderId="4" xfId="0" applyNumberFormat="1" applyFont="1" applyFill="1" applyBorder="1" applyAlignment="1">
      <alignment horizontal="center" vertical="center"/>
    </xf>
    <xf numFmtId="44" fontId="3" fillId="6" borderId="2" xfId="1" applyFont="1" applyFill="1" applyBorder="1" applyAlignment="1">
      <alignment horizontal="center" vertical="center"/>
    </xf>
    <xf numFmtId="44" fontId="3" fillId="6" borderId="4" xfId="1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9" fontId="2" fillId="0" borderId="2" xfId="2" applyFont="1" applyFill="1" applyBorder="1" applyAlignment="1">
      <alignment horizontal="center" vertical="center"/>
    </xf>
    <xf numFmtId="9" fontId="2" fillId="0" borderId="4" xfId="2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70" fontId="2" fillId="0" borderId="2" xfId="1" applyNumberFormat="1" applyFont="1" applyFill="1" applyBorder="1" applyAlignment="1">
      <alignment horizontal="center" vertical="center"/>
    </xf>
    <xf numFmtId="170" fontId="2" fillId="0" borderId="4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3" applyFont="1" applyBorder="1" applyAlignment="1">
      <alignment horizontal="center" vertical="top"/>
    </xf>
    <xf numFmtId="0" fontId="2" fillId="0" borderId="0" xfId="3"/>
  </cellXfs>
  <cellStyles count="4">
    <cellStyle name="Mata Uang" xfId="1" builtinId="4"/>
    <cellStyle name="Normal" xfId="0" builtinId="0"/>
    <cellStyle name="Normal 2" xfId="3" xr:uid="{6315A6B8-F1A4-41C2-95D2-1BF634165D5D}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Project Cost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Chart!$A$2:$A$4</c:f>
              <c:strCache>
                <c:ptCount val="3"/>
                <c:pt idx="0">
                  <c:v>Transportasi</c:v>
                </c:pt>
                <c:pt idx="1">
                  <c:v>Pengecekan &amp; Perbaikan</c:v>
                </c:pt>
                <c:pt idx="2">
                  <c:v>Administrasi</c:v>
                </c:pt>
              </c:strCache>
            </c:strRef>
          </c:cat>
          <c:val>
            <c:numRef>
              <c:f>Chart!$B$2:$B$4</c:f>
              <c:numCache>
                <c:formatCode>General</c:formatCode>
                <c:ptCount val="3"/>
                <c:pt idx="0">
                  <c:v>15000000</c:v>
                </c:pt>
                <c:pt idx="1">
                  <c:v>10000000</c:v>
                </c:pt>
                <c:pt idx="2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8-4509-A54E-63AC39957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Future Cash Flow per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Future Cash Flow</c:v>
          </c:tx>
          <c:spPr>
            <a:solidFill>
              <a:srgbClr val="92D050"/>
            </a:solidFill>
          </c:spPr>
          <c:invertIfNegative val="0"/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Chart!$A$7:$A$8</c:f>
              <c:strCache>
                <c:ptCount val="2"/>
                <c:pt idx="0">
                  <c:v>Year 1</c:v>
                </c:pt>
                <c:pt idx="1">
                  <c:v>Year 2</c:v>
                </c:pt>
              </c:strCache>
            </c:strRef>
          </c:cat>
          <c:val>
            <c:numRef>
              <c:f>Chart!$B$7:$B$8</c:f>
              <c:numCache>
                <c:formatCode>General</c:formatCode>
                <c:ptCount val="2"/>
                <c:pt idx="0">
                  <c:v>42000000</c:v>
                </c:pt>
                <c:pt idx="1">
                  <c:v>50610000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8-4A97-8B00-EA2EB501F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NPV Growth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NPV Growth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Chart!$A$12:$A$13</c:f>
              <c:strCache>
                <c:ptCount val="2"/>
                <c:pt idx="0">
                  <c:v>Year 1</c:v>
                </c:pt>
                <c:pt idx="1">
                  <c:v>Year 2</c:v>
                </c:pt>
              </c:strCache>
            </c:strRef>
          </c:cat>
          <c:val>
            <c:numRef>
              <c:f>Chart!$B$12:$B$13</c:f>
              <c:numCache>
                <c:formatCode>General</c:formatCode>
                <c:ptCount val="2"/>
                <c:pt idx="0">
                  <c:v>40000800</c:v>
                </c:pt>
                <c:pt idx="1">
                  <c:v>58901427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5-46A0-808F-93FDF98A30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AEC33-4317-4D3E-996F-C2E5C16DD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31750</xdr:rowOff>
    </xdr:from>
    <xdr:to>
      <xdr:col>11</xdr:col>
      <xdr:colOff>304800</xdr:colOff>
      <xdr:row>30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D94B6A-CF5B-4A8E-BD67-EE8F25085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31</xdr:row>
      <xdr:rowOff>114300</xdr:rowOff>
    </xdr:from>
    <xdr:to>
      <xdr:col>11</xdr:col>
      <xdr:colOff>304800</xdr:colOff>
      <xdr:row>46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83C17B-7EEB-495A-9FFB-4864DAA56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%20A409FJ\Downloads\Cost_Benefit_Analysis_Updated.xlsx" TargetMode="External"/><Relationship Id="rId1" Type="http://schemas.openxmlformats.org/officeDocument/2006/relationships/externalLinkPath" Target="/Users/Asus%20A409FJ/Downloads/Cost_Benefit_Analysis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mbar1"/>
      <sheetName val="Charts"/>
    </sheetNames>
    <sheetDataSet>
      <sheetData sheetId="0" refreshError="1"/>
      <sheetData sheetId="1">
        <row r="2">
          <cell r="A2" t="str">
            <v>Transportasi</v>
          </cell>
          <cell r="B2">
            <v>15000000</v>
          </cell>
        </row>
        <row r="3">
          <cell r="A3" t="str">
            <v>Pengecekan &amp; Perbaikan</v>
          </cell>
          <cell r="B3">
            <v>10000000</v>
          </cell>
        </row>
        <row r="4">
          <cell r="A4" t="str">
            <v>Administrasi</v>
          </cell>
          <cell r="B4">
            <v>2000000</v>
          </cell>
        </row>
        <row r="7">
          <cell r="A7" t="str">
            <v>Year 1</v>
          </cell>
          <cell r="B7">
            <v>42000000</v>
          </cell>
        </row>
        <row r="8">
          <cell r="A8" t="str">
            <v>Year 2</v>
          </cell>
          <cell r="B8">
            <v>50610000</v>
          </cell>
        </row>
        <row r="12">
          <cell r="A12" t="str">
            <v>Year 1</v>
          </cell>
          <cell r="B12">
            <v>40000800</v>
          </cell>
        </row>
        <row r="13">
          <cell r="A13" t="str">
            <v>Year 2</v>
          </cell>
          <cell r="B13">
            <v>58901427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64B0-CB7A-4290-8B31-DA67CE6D3BDA}">
  <dimension ref="B2:H33"/>
  <sheetViews>
    <sheetView workbookViewId="0">
      <selection activeCell="B12" sqref="B12:D21"/>
    </sheetView>
  </sheetViews>
  <sheetFormatPr defaultRowHeight="14.5" x14ac:dyDescent="0.35"/>
  <cols>
    <col min="1" max="1" width="8.7265625" style="1"/>
    <col min="2" max="2" width="36" style="1" customWidth="1"/>
    <col min="3" max="7" width="18" style="1" customWidth="1"/>
    <col min="8" max="16384" width="8.7265625" style="1"/>
  </cols>
  <sheetData>
    <row r="2" spans="2:7" ht="35" customHeight="1" x14ac:dyDescent="0.35">
      <c r="B2" s="8" t="s">
        <v>0</v>
      </c>
      <c r="C2" s="9" t="s">
        <v>4</v>
      </c>
      <c r="D2" s="9"/>
      <c r="E2" s="8" t="s">
        <v>1</v>
      </c>
      <c r="F2" s="9" t="s">
        <v>6</v>
      </c>
      <c r="G2" s="9"/>
    </row>
    <row r="3" spans="2:7" ht="35" customHeight="1" x14ac:dyDescent="0.35">
      <c r="B3" s="8" t="s">
        <v>2</v>
      </c>
      <c r="C3" s="10" t="s">
        <v>5</v>
      </c>
      <c r="D3" s="10"/>
      <c r="E3" s="8" t="s">
        <v>3</v>
      </c>
      <c r="F3" s="11">
        <v>45732</v>
      </c>
      <c r="G3" s="9"/>
    </row>
    <row r="5" spans="2:7" x14ac:dyDescent="0.35">
      <c r="B5" s="2" t="s">
        <v>23</v>
      </c>
      <c r="C5" s="2"/>
      <c r="D5" s="2"/>
    </row>
    <row r="6" spans="2:7" ht="24.5" customHeight="1" x14ac:dyDescent="0.35">
      <c r="B6" s="12" t="s">
        <v>20</v>
      </c>
      <c r="C6" s="13" t="s">
        <v>21</v>
      </c>
      <c r="D6" s="13"/>
    </row>
    <row r="7" spans="2:7" ht="29" x14ac:dyDescent="0.35">
      <c r="B7" s="3" t="s">
        <v>7</v>
      </c>
      <c r="C7" s="4">
        <v>15000000</v>
      </c>
      <c r="D7" s="4"/>
    </row>
    <row r="8" spans="2:7" x14ac:dyDescent="0.35">
      <c r="B8" s="5" t="s">
        <v>8</v>
      </c>
      <c r="C8" s="4">
        <v>10000000</v>
      </c>
      <c r="D8" s="4"/>
    </row>
    <row r="9" spans="2:7" ht="29" x14ac:dyDescent="0.35">
      <c r="B9" s="6" t="s">
        <v>9</v>
      </c>
      <c r="C9" s="4">
        <v>2000000</v>
      </c>
      <c r="D9" s="4"/>
    </row>
    <row r="10" spans="2:7" x14ac:dyDescent="0.35">
      <c r="B10" s="14" t="s">
        <v>22</v>
      </c>
      <c r="C10" s="7">
        <f>SUM(C7:C9)</f>
        <v>27000000</v>
      </c>
      <c r="D10" s="7"/>
    </row>
    <row r="12" spans="2:7" x14ac:dyDescent="0.35">
      <c r="B12" s="2" t="s">
        <v>19</v>
      </c>
      <c r="C12" s="2"/>
      <c r="D12" s="2"/>
    </row>
    <row r="13" spans="2:7" ht="29" customHeight="1" x14ac:dyDescent="0.35">
      <c r="B13" s="15" t="s">
        <v>10</v>
      </c>
      <c r="C13" s="16" t="s">
        <v>11</v>
      </c>
      <c r="D13" s="16"/>
    </row>
    <row r="14" spans="2:7" x14ac:dyDescent="0.35">
      <c r="B14" s="6" t="s">
        <v>12</v>
      </c>
      <c r="C14" s="17">
        <v>25000000</v>
      </c>
      <c r="D14" s="17"/>
    </row>
    <row r="15" spans="2:7" x14ac:dyDescent="0.35">
      <c r="B15" s="6" t="s">
        <v>13</v>
      </c>
      <c r="C15" s="17">
        <v>15000000</v>
      </c>
      <c r="D15" s="17"/>
    </row>
    <row r="16" spans="2:7" x14ac:dyDescent="0.35">
      <c r="B16" s="6" t="s">
        <v>14</v>
      </c>
      <c r="C16" s="17">
        <v>40000000</v>
      </c>
      <c r="D16" s="17"/>
    </row>
    <row r="17" spans="2:8" x14ac:dyDescent="0.35">
      <c r="B17" s="6" t="s">
        <v>15</v>
      </c>
      <c r="C17" s="17">
        <v>8000000</v>
      </c>
      <c r="D17" s="17"/>
    </row>
    <row r="18" spans="2:8" x14ac:dyDescent="0.35">
      <c r="B18" s="6" t="s">
        <v>16</v>
      </c>
      <c r="C18" s="17">
        <v>18000000</v>
      </c>
      <c r="D18" s="17"/>
    </row>
    <row r="19" spans="2:8" x14ac:dyDescent="0.35">
      <c r="B19" s="6" t="s">
        <v>17</v>
      </c>
      <c r="C19" s="17">
        <v>5000000</v>
      </c>
      <c r="D19" s="17"/>
    </row>
    <row r="20" spans="2:8" x14ac:dyDescent="0.35">
      <c r="B20" s="14" t="s">
        <v>18</v>
      </c>
      <c r="C20" s="18">
        <f>SUM(C14:D19)</f>
        <v>111000000</v>
      </c>
      <c r="D20" s="18"/>
    </row>
    <row r="21" spans="2:8" x14ac:dyDescent="0.35">
      <c r="B21" s="14" t="s">
        <v>24</v>
      </c>
      <c r="C21" s="18">
        <f>C20-C10</f>
        <v>84000000</v>
      </c>
      <c r="D21" s="18"/>
    </row>
    <row r="23" spans="2:8" x14ac:dyDescent="0.35">
      <c r="B23" s="25" t="s">
        <v>25</v>
      </c>
      <c r="C23" s="26"/>
      <c r="D23" s="26"/>
      <c r="E23" s="26"/>
      <c r="F23" s="26"/>
      <c r="G23" s="26"/>
      <c r="H23" s="27"/>
    </row>
    <row r="24" spans="2:8" x14ac:dyDescent="0.35">
      <c r="B24" s="28" t="s">
        <v>26</v>
      </c>
      <c r="C24" s="29" t="s">
        <v>27</v>
      </c>
      <c r="D24" s="30"/>
      <c r="E24" s="29" t="s">
        <v>28</v>
      </c>
      <c r="F24" s="30"/>
      <c r="G24" s="31" t="s">
        <v>29</v>
      </c>
      <c r="H24" s="32"/>
    </row>
    <row r="25" spans="2:8" x14ac:dyDescent="0.35">
      <c r="B25" s="33">
        <f>C21</f>
        <v>84000000</v>
      </c>
      <c r="C25" s="34">
        <v>0.05</v>
      </c>
      <c r="D25" s="35"/>
      <c r="E25" s="36">
        <v>2</v>
      </c>
      <c r="F25" s="37"/>
      <c r="G25" s="38">
        <f>SUM((B25)*((1+C25)^E25))</f>
        <v>92610000</v>
      </c>
      <c r="H25" s="39"/>
    </row>
    <row r="27" spans="2:8" x14ac:dyDescent="0.35">
      <c r="B27" s="40" t="s">
        <v>36</v>
      </c>
      <c r="C27" s="40"/>
      <c r="D27" s="40"/>
      <c r="E27" s="40"/>
      <c r="F27" s="40"/>
    </row>
    <row r="28" spans="2:8" ht="29" customHeight="1" x14ac:dyDescent="0.35">
      <c r="B28" s="19" t="s">
        <v>34</v>
      </c>
      <c r="C28" s="20" t="s">
        <v>30</v>
      </c>
      <c r="D28" s="20"/>
      <c r="E28" s="20" t="s">
        <v>26</v>
      </c>
      <c r="F28" s="20"/>
    </row>
    <row r="29" spans="2:8" x14ac:dyDescent="0.35">
      <c r="B29" s="21">
        <v>1</v>
      </c>
      <c r="C29" s="17">
        <v>42000000</v>
      </c>
      <c r="D29" s="17"/>
      <c r="E29" s="17">
        <v>40000800</v>
      </c>
      <c r="F29" s="17"/>
    </row>
    <row r="30" spans="2:8" x14ac:dyDescent="0.35">
      <c r="B30" s="21">
        <v>2</v>
      </c>
      <c r="C30" s="17">
        <v>50610000</v>
      </c>
      <c r="D30" s="17"/>
      <c r="E30" s="17">
        <v>45900627</v>
      </c>
      <c r="F30" s="17"/>
    </row>
    <row r="31" spans="2:8" x14ac:dyDescent="0.35">
      <c r="B31" s="22" t="s">
        <v>31</v>
      </c>
      <c r="C31" s="23">
        <v>92610000</v>
      </c>
      <c r="D31" s="23"/>
      <c r="E31" s="23">
        <v>85901427</v>
      </c>
      <c r="F31" s="23"/>
    </row>
    <row r="32" spans="2:8" x14ac:dyDescent="0.35">
      <c r="B32" s="22" t="s">
        <v>35</v>
      </c>
      <c r="C32" s="23">
        <v>-27000000</v>
      </c>
      <c r="D32" s="23"/>
      <c r="E32" s="23">
        <v>-27000000</v>
      </c>
      <c r="F32" s="23"/>
    </row>
    <row r="33" spans="2:6" x14ac:dyDescent="0.35">
      <c r="B33" s="22" t="s">
        <v>33</v>
      </c>
      <c r="C33" s="24" t="s">
        <v>32</v>
      </c>
      <c r="D33" s="24"/>
      <c r="E33" s="23">
        <v>58901427</v>
      </c>
      <c r="F33" s="23"/>
    </row>
  </sheetData>
  <mergeCells count="40">
    <mergeCell ref="C31:D31"/>
    <mergeCell ref="C32:D32"/>
    <mergeCell ref="C33:D33"/>
    <mergeCell ref="E28:F28"/>
    <mergeCell ref="E29:F29"/>
    <mergeCell ref="E30:F30"/>
    <mergeCell ref="E31:F31"/>
    <mergeCell ref="E32:F32"/>
    <mergeCell ref="E33:F33"/>
    <mergeCell ref="C25:D25"/>
    <mergeCell ref="E25:F25"/>
    <mergeCell ref="G25:H25"/>
    <mergeCell ref="C28:D28"/>
    <mergeCell ref="C29:D29"/>
    <mergeCell ref="C30:D30"/>
    <mergeCell ref="B27:F27"/>
    <mergeCell ref="C19:D19"/>
    <mergeCell ref="C20:D20"/>
    <mergeCell ref="C21:D21"/>
    <mergeCell ref="B23:H23"/>
    <mergeCell ref="C24:D24"/>
    <mergeCell ref="E24:F24"/>
    <mergeCell ref="G24:H24"/>
    <mergeCell ref="C13:D13"/>
    <mergeCell ref="C14:D14"/>
    <mergeCell ref="C15:D15"/>
    <mergeCell ref="C16:D16"/>
    <mergeCell ref="C17:D17"/>
    <mergeCell ref="C18:D18"/>
    <mergeCell ref="C6:D6"/>
    <mergeCell ref="C7:D7"/>
    <mergeCell ref="C8:D8"/>
    <mergeCell ref="C9:D9"/>
    <mergeCell ref="C10:D10"/>
    <mergeCell ref="B12:D12"/>
    <mergeCell ref="C2:D2"/>
    <mergeCell ref="F2:G2"/>
    <mergeCell ref="C3:D3"/>
    <mergeCell ref="F3:G3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7C4-A713-4267-9F03-C9D85ABCA691}">
  <dimension ref="A1:B13"/>
  <sheetViews>
    <sheetView tabSelected="1" workbookViewId="0">
      <selection activeCell="C15" sqref="C15"/>
    </sheetView>
  </sheetViews>
  <sheetFormatPr defaultRowHeight="14.5" x14ac:dyDescent="0.35"/>
  <cols>
    <col min="1" max="1" width="20.90625" style="42" bestFit="1" customWidth="1"/>
    <col min="2" max="2" width="20" style="42" bestFit="1" customWidth="1"/>
    <col min="3" max="16384" width="8.7265625" style="42"/>
  </cols>
  <sheetData>
    <row r="1" spans="1:2" x14ac:dyDescent="0.35">
      <c r="A1" s="41" t="s">
        <v>37</v>
      </c>
      <c r="B1" s="41" t="s">
        <v>38</v>
      </c>
    </row>
    <row r="2" spans="1:2" x14ac:dyDescent="0.35">
      <c r="A2" s="42" t="s">
        <v>39</v>
      </c>
      <c r="B2" s="42">
        <v>15000000</v>
      </c>
    </row>
    <row r="3" spans="1:2" x14ac:dyDescent="0.35">
      <c r="A3" s="42" t="s">
        <v>40</v>
      </c>
      <c r="B3" s="42">
        <v>10000000</v>
      </c>
    </row>
    <row r="4" spans="1:2" x14ac:dyDescent="0.35">
      <c r="A4" s="42" t="s">
        <v>41</v>
      </c>
      <c r="B4" s="42">
        <v>2000000</v>
      </c>
    </row>
    <row r="6" spans="1:2" x14ac:dyDescent="0.35">
      <c r="A6" s="41" t="s">
        <v>34</v>
      </c>
      <c r="B6" s="41" t="s">
        <v>30</v>
      </c>
    </row>
    <row r="7" spans="1:2" x14ac:dyDescent="0.35">
      <c r="A7" s="42" t="s">
        <v>42</v>
      </c>
      <c r="B7" s="42">
        <v>42000000</v>
      </c>
    </row>
    <row r="8" spans="1:2" x14ac:dyDescent="0.35">
      <c r="A8" s="42" t="s">
        <v>43</v>
      </c>
      <c r="B8" s="42">
        <v>50610000</v>
      </c>
    </row>
    <row r="11" spans="1:2" x14ac:dyDescent="0.35">
      <c r="A11" s="41" t="s">
        <v>34</v>
      </c>
      <c r="B11" s="41" t="s">
        <v>44</v>
      </c>
    </row>
    <row r="12" spans="1:2" x14ac:dyDescent="0.35">
      <c r="A12" s="42" t="s">
        <v>42</v>
      </c>
      <c r="B12" s="42">
        <v>40000800</v>
      </c>
    </row>
    <row r="13" spans="1:2" x14ac:dyDescent="0.35">
      <c r="A13" s="42" t="s">
        <v>43</v>
      </c>
      <c r="B13" s="42">
        <v>58901427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Rafisal</dc:creator>
  <cp:lastModifiedBy>Rafisal</cp:lastModifiedBy>
  <dcterms:created xsi:type="dcterms:W3CDTF">2025-03-16T14:39:21Z</dcterms:created>
  <dcterms:modified xsi:type="dcterms:W3CDTF">2025-03-16T17:18:32Z</dcterms:modified>
</cp:coreProperties>
</file>